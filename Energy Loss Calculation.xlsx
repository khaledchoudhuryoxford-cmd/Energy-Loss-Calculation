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e2785\Downloads\"/>
    </mc:Choice>
  </mc:AlternateContent>
  <xr:revisionPtr revIDLastSave="0" documentId="8_{5C877501-93D9-4D7F-8884-FB6BFD3983E8}" xr6:coauthVersionLast="47" xr6:coauthVersionMax="47" xr10:uidLastSave="{00000000-0000-0000-0000-000000000000}"/>
  <bookViews>
    <workbookView xWindow="-108" yWindow="-108" windowWidth="23256" windowHeight="12456" activeTab="2" xr2:uid="{7A4B5FE4-756B-4B64-9C12-894C5D138443}"/>
  </bookViews>
  <sheets>
    <sheet name="Instructions" sheetId="2" r:id="rId1"/>
    <sheet name="Description of the parameters" sheetId="3" r:id="rId2"/>
    <sheet name="Calculation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V2" i="1"/>
  <c r="E2" i="1"/>
  <c r="D2" i="1"/>
  <c r="AL2" i="1"/>
  <c r="AK2" i="1"/>
  <c r="AJ2" i="1"/>
  <c r="AI2" i="1"/>
  <c r="B2" i="1"/>
  <c r="AG2" i="1"/>
  <c r="A2" i="1" l="1"/>
  <c r="J2" i="1"/>
  <c r="F2" i="1"/>
  <c r="C2" i="1"/>
  <c r="I2" i="1"/>
  <c r="AF2" i="1"/>
  <c r="AA2" i="1"/>
  <c r="H2" i="1"/>
  <c r="G2" i="1" l="1"/>
  <c r="R2" i="1" s="1"/>
  <c r="K2" i="1"/>
  <c r="AD2" i="1" l="1"/>
  <c r="AE2" i="1" s="1"/>
  <c r="M2" i="1"/>
  <c r="L2" i="1"/>
  <c r="Q2" i="1" l="1"/>
  <c r="T2" i="1" s="1"/>
  <c r="AC2" i="1"/>
  <c r="AB2" i="1"/>
  <c r="N2" i="1" l="1"/>
  <c r="Y2" i="1"/>
  <c r="Z2" i="1" s="1"/>
  <c r="O2" i="1" l="1"/>
  <c r="P2" i="1" s="1"/>
  <c r="S2" i="1" s="1"/>
  <c r="U2" i="1"/>
  <c r="X2" i="1" s="1"/>
</calcChain>
</file>

<file path=xl/sharedStrings.xml><?xml version="1.0" encoding="utf-8"?>
<sst xmlns="http://schemas.openxmlformats.org/spreadsheetml/2006/main" count="109" uniqueCount="86">
  <si>
    <t xml:space="preserve"> </t>
  </si>
  <si>
    <t>V_GG (V)</t>
  </si>
  <si>
    <t>I_L (A)</t>
  </si>
  <si>
    <t>Delta_I (A)</t>
  </si>
  <si>
    <t>g_m</t>
  </si>
  <si>
    <t>R_G (Ohm)</t>
  </si>
  <si>
    <t>V_p (V)</t>
  </si>
  <si>
    <t>C_iss</t>
  </si>
  <si>
    <t>K (Cgd0)</t>
  </si>
  <si>
    <t>V_p1 (V)</t>
  </si>
  <si>
    <t>t_ri</t>
  </si>
  <si>
    <t>t_i</t>
  </si>
  <si>
    <t>V_ds1 (V)</t>
  </si>
  <si>
    <t>t_f</t>
  </si>
  <si>
    <t xml:space="preserve">t_fv </t>
  </si>
  <si>
    <t>t_fi</t>
  </si>
  <si>
    <t>t_rv</t>
  </si>
  <si>
    <t>T_on+t_r</t>
  </si>
  <si>
    <t>T_off</t>
  </si>
  <si>
    <t>E_on</t>
  </si>
  <si>
    <t>E_off</t>
  </si>
  <si>
    <t>C_gd</t>
  </si>
  <si>
    <t>E</t>
  </si>
  <si>
    <t>A</t>
  </si>
  <si>
    <t>C_iss1</t>
  </si>
  <si>
    <t>L_s (H)</t>
  </si>
  <si>
    <t>V_R</t>
  </si>
  <si>
    <t>V_R1</t>
  </si>
  <si>
    <t>I_ds1</t>
  </si>
  <si>
    <t>V_p1</t>
  </si>
  <si>
    <t>L_d (H)</t>
  </si>
  <si>
    <t>K1 (Cds0)</t>
  </si>
  <si>
    <t xml:space="preserve">Input gate voltage </t>
  </si>
  <si>
    <t>Input DC voltage</t>
  </si>
  <si>
    <t>Load current</t>
  </si>
  <si>
    <t>Input capacitance of the gate</t>
  </si>
  <si>
    <t>Gate-drain capacitance when drain-source voltage is 1 V</t>
  </si>
  <si>
    <t>Parasitic inductance associated with source terminal</t>
  </si>
  <si>
    <t>Parasitic inductance associated with drain terminal</t>
  </si>
  <si>
    <t>Drain-source capacitance when drain-source voltage is 1 V</t>
  </si>
  <si>
    <t>Sytem parameters</t>
  </si>
  <si>
    <t>Datasheet parameters</t>
  </si>
  <si>
    <t>Datasheet parameter</t>
  </si>
  <si>
    <t>V_dd</t>
  </si>
  <si>
    <t>V_th (typ)</t>
  </si>
  <si>
    <t>Symbol</t>
  </si>
  <si>
    <t>Value</t>
  </si>
  <si>
    <t>Unit</t>
  </si>
  <si>
    <t>V</t>
  </si>
  <si>
    <t>Name</t>
  </si>
  <si>
    <t>R_G,ext</t>
  </si>
  <si>
    <t>R_G,int</t>
  </si>
  <si>
    <t>Ir should be linked to the calculation sheet in Delta_I</t>
  </si>
  <si>
    <t>Internal Gate Resistance</t>
  </si>
  <si>
    <t>Ω</t>
  </si>
  <si>
    <t xml:space="preserve">L_s </t>
  </si>
  <si>
    <t>L_d</t>
  </si>
  <si>
    <t>Ir</t>
  </si>
  <si>
    <t>External  Gate Resistance</t>
  </si>
  <si>
    <t>H</t>
  </si>
  <si>
    <t xml:space="preserve">I_L </t>
  </si>
  <si>
    <t>V_GG</t>
  </si>
  <si>
    <t>S</t>
  </si>
  <si>
    <t>V_th</t>
  </si>
  <si>
    <t>Load current specified for the reverse recovery current</t>
  </si>
  <si>
    <t>Reverse Recovery Current at datasheet</t>
  </si>
  <si>
    <t>I_L,r</t>
  </si>
  <si>
    <t>F</t>
  </si>
  <si>
    <t>2. In the 'Description of parameters' sheet, all the inputs from the user are provided in two tables</t>
  </si>
  <si>
    <t>4. The total energy loss is calculated in the 'Calculation' sheet in X2 cell (coloured in yellow)</t>
  </si>
  <si>
    <t>Calcualted Energy(Joules)</t>
  </si>
  <si>
    <t>Please read the instructions for using the calculator following the table 1 and 2 in the paper:</t>
  </si>
  <si>
    <t>Input system parameters here:</t>
  </si>
  <si>
    <t>Input datasheet parameters here:</t>
  </si>
  <si>
    <t>Check:</t>
  </si>
  <si>
    <t>3. In one table, all the datasheet parameters need to be provided. In another table, all the system parameters need to be provided.</t>
  </si>
  <si>
    <t>Other calculated parameters from Table 2 of the paper</t>
  </si>
  <si>
    <t>1. This file is to calculate the total switching energy loss of a standalone MOSFET used in a DPT setup.</t>
  </si>
  <si>
    <t>g_m0</t>
  </si>
  <si>
    <t>Forward transconductance specified at the datasheet</t>
  </si>
  <si>
    <t>An example is given for IRF520 MOSFET</t>
  </si>
  <si>
    <t>This table corresponds to Table 1 of the paper</t>
  </si>
  <si>
    <t>Threshold gate voltage</t>
  </si>
  <si>
    <t>gm0</t>
  </si>
  <si>
    <t>I_L,gm</t>
  </si>
  <si>
    <t>Current specified at the forward transconductance of the datasheet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</si>
</sst>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11" fontId="0" fillId="3" borderId="0" xfId="0" applyNumberFormat="1" applyFill="1" applyAlignment="1">
      <alignment horizontal="center"/>
    </xf>
    <xf numFmtId="11" fontId="0" fillId="3" borderId="0" xfId="0" applyNumberFormat="1" applyFill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0" fillId="7" borderId="0" xfId="0" applyFill="1" applyAlignment="1">
      <alignment vertical="top" wrapText="1"/>
    </xf>
    <xf numFmtId="0" fontId="0" fillId="7" borderId="1" xfId="0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11" fontId="0" fillId="7" borderId="0" xfId="0" applyNumberFormat="1" applyFill="1" applyAlignment="1">
      <alignment horizontal="center"/>
    </xf>
    <xf numFmtId="11" fontId="0" fillId="7" borderId="0" xfId="0" applyNumberFormat="1" applyFill="1"/>
    <xf numFmtId="0" fontId="0" fillId="5" borderId="0" xfId="0" applyFill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B51B-FCBD-4E7C-B26A-63F42B635F81}">
  <dimension ref="A1:K10"/>
  <sheetViews>
    <sheetView workbookViewId="0">
      <selection activeCell="A10" sqref="A10"/>
    </sheetView>
  </sheetViews>
  <sheetFormatPr defaultRowHeight="14.4" x14ac:dyDescent="0.3"/>
  <cols>
    <col min="1" max="1" width="76.77734375" customWidth="1"/>
  </cols>
  <sheetData>
    <row r="1" spans="1:11" x14ac:dyDescent="0.3">
      <c r="A1" s="27" t="s">
        <v>71</v>
      </c>
    </row>
    <row r="2" spans="1:11" ht="28.8" x14ac:dyDescent="0.3">
      <c r="A2" s="6" t="s">
        <v>77</v>
      </c>
      <c r="K2" t="s">
        <v>0</v>
      </c>
    </row>
    <row r="4" spans="1:11" x14ac:dyDescent="0.3">
      <c r="A4" t="s">
        <v>68</v>
      </c>
    </row>
    <row r="6" spans="1:11" ht="28.8" x14ac:dyDescent="0.3">
      <c r="A6" s="28" t="s">
        <v>75</v>
      </c>
    </row>
    <row r="8" spans="1:11" x14ac:dyDescent="0.3">
      <c r="A8" s="26" t="s">
        <v>69</v>
      </c>
    </row>
    <row r="10" spans="1:11" x14ac:dyDescent="0.3">
      <c r="A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25B0-B9A2-477A-846E-FC2778033972}">
  <dimension ref="A1:AJ15"/>
  <sheetViews>
    <sheetView topLeftCell="A4" workbookViewId="0">
      <selection activeCell="C5" sqref="C5"/>
    </sheetView>
  </sheetViews>
  <sheetFormatPr defaultRowHeight="14.4" x14ac:dyDescent="0.3"/>
  <cols>
    <col min="1" max="1" width="10.44140625" customWidth="1"/>
    <col min="5" max="6" width="15.5546875" customWidth="1"/>
    <col min="7" max="7" width="26.77734375" customWidth="1"/>
    <col min="9" max="9" width="10.77734375" customWidth="1"/>
    <col min="11" max="11" width="20" customWidth="1"/>
    <col min="12" max="12" width="11.21875" customWidth="1"/>
    <col min="13" max="13" width="10" customWidth="1"/>
    <col min="14" max="14" width="10.5546875" customWidth="1"/>
    <col min="15" max="15" width="10.21875" customWidth="1"/>
    <col min="16" max="17" width="10.5546875" customWidth="1"/>
    <col min="18" max="20" width="10.21875" customWidth="1"/>
    <col min="21" max="21" width="11.77734375" customWidth="1"/>
    <col min="22" max="22" width="15.21875" customWidth="1"/>
    <col min="23" max="23" width="14.77734375" customWidth="1"/>
    <col min="24" max="24" width="10.21875" customWidth="1"/>
    <col min="26" max="26" width="10.5546875" customWidth="1"/>
    <col min="27" max="27" width="11.21875" customWidth="1"/>
    <col min="28" max="28" width="18.44140625" customWidth="1"/>
    <col min="29" max="29" width="10.21875" customWidth="1"/>
    <col min="30" max="31" width="10.5546875" customWidth="1"/>
    <col min="32" max="32" width="10.44140625" customWidth="1"/>
    <col min="33" max="33" width="12.5546875" customWidth="1"/>
    <col min="34" max="34" width="13.77734375" customWidth="1"/>
  </cols>
  <sheetData>
    <row r="1" spans="1:36" ht="78" customHeight="1" x14ac:dyDescent="0.3">
      <c r="B1" s="40" t="s">
        <v>72</v>
      </c>
      <c r="C1" s="40"/>
      <c r="D1" s="40"/>
      <c r="G1" s="40" t="s">
        <v>73</v>
      </c>
      <c r="H1" s="40"/>
      <c r="I1" s="40"/>
      <c r="J1" s="40"/>
    </row>
    <row r="2" spans="1:36" x14ac:dyDescent="0.3">
      <c r="A2" s="39" t="s">
        <v>40</v>
      </c>
      <c r="B2" s="39"/>
      <c r="C2" s="39"/>
      <c r="D2" s="39"/>
      <c r="F2" s="9"/>
      <c r="G2" s="39" t="s">
        <v>41</v>
      </c>
      <c r="H2" s="39"/>
      <c r="I2" s="39"/>
      <c r="J2" s="39"/>
      <c r="AB2" s="9" t="s">
        <v>42</v>
      </c>
      <c r="AG2" s="37" t="s">
        <v>42</v>
      </c>
      <c r="AH2" s="38"/>
    </row>
    <row r="3" spans="1:36" x14ac:dyDescent="0.3">
      <c r="A3" s="22" t="s">
        <v>49</v>
      </c>
      <c r="B3" s="22" t="s">
        <v>45</v>
      </c>
      <c r="C3" s="22" t="s">
        <v>46</v>
      </c>
      <c r="D3" s="22" t="s">
        <v>47</v>
      </c>
      <c r="G3" s="14" t="s">
        <v>49</v>
      </c>
      <c r="H3" s="14" t="s">
        <v>45</v>
      </c>
      <c r="I3" s="14" t="s">
        <v>46</v>
      </c>
      <c r="J3" s="14" t="s">
        <v>47</v>
      </c>
    </row>
    <row r="4" spans="1:36" ht="28.8" x14ac:dyDescent="0.3">
      <c r="A4" s="12" t="s">
        <v>32</v>
      </c>
      <c r="B4" s="14" t="s">
        <v>61</v>
      </c>
      <c r="C4" s="29">
        <v>20</v>
      </c>
      <c r="D4" s="14" t="s">
        <v>48</v>
      </c>
      <c r="G4" s="12" t="s">
        <v>82</v>
      </c>
      <c r="H4" s="14" t="s">
        <v>63</v>
      </c>
      <c r="I4" s="29">
        <v>4</v>
      </c>
      <c r="J4" s="14" t="s">
        <v>48</v>
      </c>
    </row>
    <row r="5" spans="1:36" ht="28.8" x14ac:dyDescent="0.3">
      <c r="A5" s="12" t="s">
        <v>33</v>
      </c>
      <c r="B5" s="14" t="s">
        <v>43</v>
      </c>
      <c r="C5" s="29">
        <v>36</v>
      </c>
      <c r="D5" s="14" t="s">
        <v>48</v>
      </c>
      <c r="G5" s="13" t="s">
        <v>79</v>
      </c>
      <c r="H5" s="14" t="s">
        <v>78</v>
      </c>
      <c r="I5" s="29">
        <v>2.7</v>
      </c>
      <c r="J5" s="14" t="s">
        <v>62</v>
      </c>
    </row>
    <row r="6" spans="1:36" ht="28.8" x14ac:dyDescent="0.3">
      <c r="A6" s="12" t="s">
        <v>34</v>
      </c>
      <c r="B6" s="14" t="s">
        <v>60</v>
      </c>
      <c r="C6" s="29">
        <v>9</v>
      </c>
      <c r="D6" s="14" t="s">
        <v>23</v>
      </c>
      <c r="G6" s="12" t="s">
        <v>35</v>
      </c>
      <c r="H6" s="14" t="s">
        <v>7</v>
      </c>
      <c r="I6" s="29">
        <v>3.6E-10</v>
      </c>
      <c r="J6" s="14" t="s">
        <v>67</v>
      </c>
      <c r="AG6" s="38" t="s">
        <v>52</v>
      </c>
      <c r="AH6" s="38"/>
      <c r="AI6" s="38"/>
      <c r="AJ6" s="38"/>
    </row>
    <row r="7" spans="1:36" ht="43.2" x14ac:dyDescent="0.3">
      <c r="A7" s="13" t="s">
        <v>58</v>
      </c>
      <c r="B7" s="13" t="s">
        <v>50</v>
      </c>
      <c r="C7" s="29">
        <v>20</v>
      </c>
      <c r="D7" s="15" t="s">
        <v>54</v>
      </c>
      <c r="G7" s="12" t="s">
        <v>36</v>
      </c>
      <c r="H7" s="14" t="s">
        <v>8</v>
      </c>
      <c r="I7" s="29">
        <v>2.25E-10</v>
      </c>
      <c r="J7" s="14" t="s">
        <v>67</v>
      </c>
    </row>
    <row r="8" spans="1:36" ht="57" customHeight="1" x14ac:dyDescent="0.3">
      <c r="A8" s="23"/>
      <c r="B8" s="23"/>
      <c r="C8" s="24"/>
      <c r="D8" s="25"/>
      <c r="G8" s="12" t="s">
        <v>39</v>
      </c>
      <c r="H8" s="19" t="s">
        <v>31</v>
      </c>
      <c r="I8" s="29">
        <v>5.6000000000000003E-10</v>
      </c>
      <c r="J8" s="14" t="s">
        <v>67</v>
      </c>
      <c r="M8" s="16"/>
      <c r="N8" s="16"/>
      <c r="O8" s="16"/>
    </row>
    <row r="9" spans="1:36" ht="28.8" x14ac:dyDescent="0.3">
      <c r="G9" s="12" t="s">
        <v>37</v>
      </c>
      <c r="H9" s="14" t="s">
        <v>55</v>
      </c>
      <c r="I9" s="29">
        <v>7.4999999999999993E-9</v>
      </c>
      <c r="J9" s="14" t="s">
        <v>59</v>
      </c>
      <c r="M9" s="17"/>
      <c r="N9" s="17"/>
      <c r="O9" s="18"/>
    </row>
    <row r="10" spans="1:36" ht="28.8" x14ac:dyDescent="0.3">
      <c r="G10" s="12" t="s">
        <v>38</v>
      </c>
      <c r="H10" s="14" t="s">
        <v>56</v>
      </c>
      <c r="I10" s="29">
        <v>4.4999999999999998E-9</v>
      </c>
      <c r="J10" s="14" t="s">
        <v>59</v>
      </c>
    </row>
    <row r="11" spans="1:36" x14ac:dyDescent="0.3">
      <c r="G11" s="13" t="s">
        <v>53</v>
      </c>
      <c r="H11" s="13" t="s">
        <v>51</v>
      </c>
      <c r="I11" s="29">
        <v>5</v>
      </c>
      <c r="J11" s="15" t="s">
        <v>54</v>
      </c>
    </row>
    <row r="12" spans="1:36" ht="28.8" x14ac:dyDescent="0.3">
      <c r="G12" s="13" t="s">
        <v>64</v>
      </c>
      <c r="H12" s="13" t="s">
        <v>66</v>
      </c>
      <c r="I12" s="29">
        <v>9.1999999999999993</v>
      </c>
      <c r="J12" s="15" t="s">
        <v>23</v>
      </c>
    </row>
    <row r="13" spans="1:36" ht="28.8" x14ac:dyDescent="0.3">
      <c r="G13" s="13" t="s">
        <v>65</v>
      </c>
      <c r="H13" s="19" t="s">
        <v>57</v>
      </c>
      <c r="I13" s="29">
        <v>5</v>
      </c>
      <c r="J13" s="14" t="s">
        <v>23</v>
      </c>
    </row>
    <row r="14" spans="1:36" ht="43.2" x14ac:dyDescent="0.3">
      <c r="G14" s="42" t="s">
        <v>85</v>
      </c>
      <c r="H14" s="14" t="s">
        <v>84</v>
      </c>
      <c r="I14" s="29">
        <v>5.5</v>
      </c>
      <c r="J14" s="14" t="s">
        <v>23</v>
      </c>
    </row>
    <row r="15" spans="1:36" x14ac:dyDescent="0.3">
      <c r="G15" s="43" t="s">
        <v>81</v>
      </c>
      <c r="H15" s="43"/>
      <c r="I15" s="43"/>
      <c r="J15" s="43"/>
    </row>
  </sheetData>
  <mergeCells count="7">
    <mergeCell ref="G15:J15"/>
    <mergeCell ref="AG2:AH2"/>
    <mergeCell ref="AG6:AJ6"/>
    <mergeCell ref="A2:D2"/>
    <mergeCell ref="G2:J2"/>
    <mergeCell ref="B1:D1"/>
    <mergeCell ref="G1:J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F5F2-3EF4-469D-B79E-ADEFCC0C810A}">
  <dimension ref="A1:AM6"/>
  <sheetViews>
    <sheetView tabSelected="1" topLeftCell="S1" workbookViewId="0">
      <selection activeCell="A2" sqref="A2"/>
    </sheetView>
  </sheetViews>
  <sheetFormatPr defaultRowHeight="14.4" x14ac:dyDescent="0.3"/>
  <cols>
    <col min="19" max="19" width="23.88671875" customWidth="1"/>
    <col min="24" max="24" width="8.5546875" bestFit="1" customWidth="1"/>
    <col min="25" max="25" width="10.77734375" customWidth="1"/>
  </cols>
  <sheetData>
    <row r="1" spans="1:39" ht="28.8" x14ac:dyDescent="0.3">
      <c r="A1" s="30" t="s">
        <v>1</v>
      </c>
      <c r="B1" s="30" t="s">
        <v>43</v>
      </c>
      <c r="C1" s="30" t="s">
        <v>2</v>
      </c>
      <c r="D1" s="8" t="s">
        <v>3</v>
      </c>
      <c r="E1" s="30" t="s">
        <v>4</v>
      </c>
      <c r="F1" s="33" t="s">
        <v>5</v>
      </c>
      <c r="G1" s="7" t="s">
        <v>6</v>
      </c>
      <c r="H1" s="30" t="s">
        <v>7</v>
      </c>
      <c r="I1" s="30" t="s">
        <v>44</v>
      </c>
      <c r="J1" s="30" t="s">
        <v>8</v>
      </c>
      <c r="K1" s="7" t="s">
        <v>9</v>
      </c>
      <c r="L1" s="1" t="s">
        <v>10</v>
      </c>
      <c r="M1" s="1" t="s">
        <v>11</v>
      </c>
      <c r="N1" s="7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7" t="s">
        <v>21</v>
      </c>
      <c r="X1" s="3" t="s">
        <v>22</v>
      </c>
      <c r="Y1" s="1" t="s">
        <v>23</v>
      </c>
      <c r="Z1" s="7" t="s">
        <v>24</v>
      </c>
      <c r="AA1" s="30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30" t="s">
        <v>30</v>
      </c>
      <c r="AG1" s="30" t="s">
        <v>31</v>
      </c>
      <c r="AH1" s="1" t="s">
        <v>48</v>
      </c>
      <c r="AI1" s="1" t="s">
        <v>66</v>
      </c>
      <c r="AJ1" s="2" t="s">
        <v>57</v>
      </c>
      <c r="AK1" s="1" t="s">
        <v>83</v>
      </c>
      <c r="AL1" s="1" t="s">
        <v>84</v>
      </c>
      <c r="AM1" s="1"/>
    </row>
    <row r="2" spans="1:39" x14ac:dyDescent="0.3">
      <c r="A2" s="31">
        <f>'Description of the parameters'!C4</f>
        <v>20</v>
      </c>
      <c r="B2" s="31">
        <f>'Description of the parameters'!C5</f>
        <v>36</v>
      </c>
      <c r="C2" s="32">
        <f>'Description of the parameters'!C6</f>
        <v>9</v>
      </c>
      <c r="D2" s="10">
        <f xml:space="preserve"> AJ2*SQRT(C2/AI2)</f>
        <v>4.9453535504684023</v>
      </c>
      <c r="E2" s="31">
        <f>AK2*SQRT(C2/AL2)</f>
        <v>3.4538516049608896</v>
      </c>
      <c r="F2" s="32">
        <f>'Description of the parameters'!C7+'Description of the parameters'!I11</f>
        <v>25</v>
      </c>
      <c r="G2" s="21">
        <f xml:space="preserve"> I2+C2/E2</f>
        <v>6.6057865332352383</v>
      </c>
      <c r="H2" s="34">
        <f>'Description of the parameters'!I6</f>
        <v>3.6E-10</v>
      </c>
      <c r="I2" s="32">
        <f>'Description of the parameters'!I4</f>
        <v>4</v>
      </c>
      <c r="J2" s="34">
        <f>'Description of the parameters'!I7</f>
        <v>2.25E-10</v>
      </c>
      <c r="K2" s="10">
        <f xml:space="preserve"> I2+(C2+D2)/E2</f>
        <v>8.0376238314460871</v>
      </c>
      <c r="L2" s="4">
        <f>F2*H2*LN((1+E2*AA2/(F2*H2))*(A2-I2)/(A2-K2))</f>
        <v>1.4815763453203669E-8</v>
      </c>
      <c r="M2" s="4">
        <f xml:space="preserve"> F2*H2*LN(K2/G2)</f>
        <v>1.765687354048299E-9</v>
      </c>
      <c r="N2" s="10">
        <f xml:space="preserve"> 0.25*(2*SQRT(B2-AB2+AH2) - A2*M2/(F2*J2)-K2*F2*Z2*(EXP(-M2/(F2*Z2)) - 1)/(F2*J2))^2</f>
        <v>32.641517950732862</v>
      </c>
      <c r="O2" s="4">
        <f xml:space="preserve"> 2*SQRT(N2)*J2/((A2 - G2)/F2)</f>
        <v>4.7986655230397533E-9</v>
      </c>
      <c r="P2" s="4">
        <f>M2+O2</f>
        <v>6.5643528770880525E-9</v>
      </c>
      <c r="Q2" s="4">
        <f xml:space="preserve"> F2*H2*LN((1+E2*AA2/(F2*H2))*(E2*I2+AD2)/(E2*I2))</f>
        <v>1.6449994663717898E-8</v>
      </c>
      <c r="R2" s="4">
        <f>2*SQRT(B2)*J2/(G2/F2)</f>
        <v>1.0218313846563449E-8</v>
      </c>
      <c r="S2" s="4">
        <f xml:space="preserve"> L2+P2</f>
        <v>2.1380116330291721E-8</v>
      </c>
      <c r="T2" s="5">
        <f xml:space="preserve"> Q2+R2</f>
        <v>2.6668308510281347E-8</v>
      </c>
      <c r="U2" s="4">
        <f xml:space="preserve"> 0.5*(B2-AB2)*(C2+D2)*L2+(1/3)*(1*C2+D2)*(B2-AB2)*M2+(1/6)*N2*(1*C2+D2)*M2+(1/6)*(B2-AB2)*C2*M2+(1/3)*N2*C2*M2+2/3*N2*SQRT(N2)*J2/((A2-G2)/F2)</f>
        <v>3.1794372211965377E-6</v>
      </c>
      <c r="V2" s="5">
        <f xml:space="preserve">  0.5*(B2+(AA2+AF2)*AD2/Q2)*AD2*Q2 + 1/3*B2*AD2*R2</f>
        <v>3.910678623478636E-6</v>
      </c>
      <c r="W2" s="11">
        <v>1.2500000000000001E-10</v>
      </c>
      <c r="X2" s="20">
        <f>U2+V2</f>
        <v>7.0901158446751737E-6</v>
      </c>
      <c r="Y2" s="4">
        <f xml:space="preserve"> (B2-AB2)/G2</f>
        <v>3.7399008815119799</v>
      </c>
      <c r="Z2" s="11">
        <f xml:space="preserve"> H2 + (1 + Y2)*W2</f>
        <v>9.5248761018899752E-10</v>
      </c>
      <c r="AA2" s="35">
        <f>'Description of the parameters'!I9</f>
        <v>7.4999999999999993E-9</v>
      </c>
      <c r="AB2" s="5">
        <f xml:space="preserve"> (AA2+AF2)*(C2+D2)/(L2+0)</f>
        <v>11.295013121273566</v>
      </c>
      <c r="AC2" s="5">
        <f xml:space="preserve"> (AA2+AF2)*(C2+0)/L2</f>
        <v>7.2895332286536156</v>
      </c>
      <c r="AD2" s="5">
        <f xml:space="preserve"> C2 - (AG2/J2)*G2/F2</f>
        <v>8.3423572518023583</v>
      </c>
      <c r="AE2" s="5">
        <f xml:space="preserve"> AD2/E2 + I2</f>
        <v>6.4153780202426578</v>
      </c>
      <c r="AF2" s="35">
        <f>'Description of the parameters'!I10</f>
        <v>4.4999999999999998E-9</v>
      </c>
      <c r="AG2" s="35">
        <f>'Description of the parameters'!I8</f>
        <v>5.6000000000000003E-10</v>
      </c>
      <c r="AH2" s="5">
        <f xml:space="preserve"> (AA2+AF2)*D2/M2</f>
        <v>33.60971152087523</v>
      </c>
      <c r="AI2" s="5">
        <f>'Description of the parameters'!I12</f>
        <v>9.1999999999999993</v>
      </c>
      <c r="AJ2" s="5">
        <f>'Description of the parameters'!I13</f>
        <v>5</v>
      </c>
      <c r="AK2" s="24">
        <f>'Description of the parameters'!I5</f>
        <v>2.7</v>
      </c>
      <c r="AL2" s="24">
        <f>'Description of the parameters'!I14</f>
        <v>5.5</v>
      </c>
    </row>
    <row r="4" spans="1:39" x14ac:dyDescent="0.3">
      <c r="S4" s="32" t="s">
        <v>74</v>
      </c>
    </row>
    <row r="5" spans="1:39" x14ac:dyDescent="0.3">
      <c r="S5" s="41" t="s">
        <v>70</v>
      </c>
    </row>
    <row r="6" spans="1:39" ht="43.2" x14ac:dyDescent="0.3">
      <c r="S6" s="36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CBFAF66B25D34EA15A3D41B1BF309C" ma:contentTypeVersion="15" ma:contentTypeDescription="Create a new document." ma:contentTypeScope="" ma:versionID="6391282c8b56afe3ff6d4e49c7744c52">
  <xsd:schema xmlns:xsd="http://www.w3.org/2001/XMLSchema" xmlns:xs="http://www.w3.org/2001/XMLSchema" xmlns:p="http://schemas.microsoft.com/office/2006/metadata/properties" xmlns:ns3="19bc87a4-4591-49db-89a3-15645c9e9a12" xmlns:ns4="dc18080a-a44b-430d-9f6a-c5790fcf76d1" targetNamespace="http://schemas.microsoft.com/office/2006/metadata/properties" ma:root="true" ma:fieldsID="8e6ae5e4adf64deea885c8a9f7101ab9" ns3:_="" ns4:_="">
    <xsd:import namespace="19bc87a4-4591-49db-89a3-15645c9e9a12"/>
    <xsd:import namespace="dc18080a-a44b-430d-9f6a-c5790fcf76d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c87a4-4591-49db-89a3-15645c9e9a12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8080a-a44b-430d-9f6a-c5790fcf76d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bc87a4-4591-49db-89a3-15645c9e9a12" xsi:nil="true"/>
  </documentManagement>
</p:properties>
</file>

<file path=customXml/itemProps1.xml><?xml version="1.0" encoding="utf-8"?>
<ds:datastoreItem xmlns:ds="http://schemas.openxmlformats.org/officeDocument/2006/customXml" ds:itemID="{C959DD06-C392-4FEA-9E7A-81C0039761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E6D48-C5F1-44C6-9BFC-E0B75884F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c87a4-4591-49db-89a3-15645c9e9a12"/>
    <ds:schemaRef ds:uri="dc18080a-a44b-430d-9f6a-c5790fcf7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8A9F9D-D48A-46E0-9E99-CDD1F440F61D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dc18080a-a44b-430d-9f6a-c5790fcf76d1"/>
    <ds:schemaRef ds:uri="http://purl.org/dc/elements/1.1/"/>
    <ds:schemaRef ds:uri="http://schemas.microsoft.com/office/infopath/2007/PartnerControls"/>
    <ds:schemaRef ds:uri="19bc87a4-4591-49db-89a3-15645c9e9a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Description of the parameters</vt:lpstr>
      <vt:lpstr>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Choudhury</dc:creator>
  <cp:keywords/>
  <dc:description/>
  <cp:lastModifiedBy>Khaled Choudhury</cp:lastModifiedBy>
  <cp:revision/>
  <dcterms:created xsi:type="dcterms:W3CDTF">2025-08-31T11:17:09Z</dcterms:created>
  <dcterms:modified xsi:type="dcterms:W3CDTF">2025-11-16T01:12:59Z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0x010100FECBFAF66B25D34EA15A3D41B1BF309C</vt:lpwstr>
  </property>
  <property fmtid="{D5CDD505-2E9C-101B-9397-08002B2CF9AE}" pid="3" name="MSIP_Label_289eaf13-f528-470e-bf6b-38b666617431_Enabled">
    <vt:lpwstr>true</vt:lpwstr>
  </property>
  <property fmtid="{D5CDD505-2E9C-101B-9397-08002B2CF9AE}" pid="4" name="MSIP_Label_289eaf13-f528-470e-bf6b-38b666617431_SetDate">
    <vt:lpwstr>2025-09-02T12:16:58Z</vt:lpwstr>
  </property>
  <property fmtid="{D5CDD505-2E9C-101B-9397-08002B2CF9AE}" pid="5" name="MSIP_Label_289eaf13-f528-470e-bf6b-38b666617431_Method">
    <vt:lpwstr>Standard</vt:lpwstr>
  </property>
  <property fmtid="{D5CDD505-2E9C-101B-9397-08002B2CF9AE}" pid="6" name="MSIP_Label_289eaf13-f528-470e-bf6b-38b666617431_Name">
    <vt:lpwstr>Proprietary</vt:lpwstr>
  </property>
  <property fmtid="{D5CDD505-2E9C-101B-9397-08002B2CF9AE}" pid="7" name="MSIP_Label_289eaf13-f528-470e-bf6b-38b666617431_SiteId">
    <vt:lpwstr>4c087f80-1e07-4f72-9e41-d7d9748d0f4c</vt:lpwstr>
  </property>
  <property fmtid="{D5CDD505-2E9C-101B-9397-08002B2CF9AE}" pid="8" name="MSIP_Label_289eaf13-f528-470e-bf6b-38b666617431_ActionId">
    <vt:lpwstr>de442d5b-19ea-4e05-ad10-e20ca2fcecb0</vt:lpwstr>
  </property>
  <property fmtid="{D5CDD505-2E9C-101B-9397-08002B2CF9AE}" pid="9" name="MSIP_Label_289eaf13-f528-470e-bf6b-38b666617431_ContentBits">
    <vt:lpwstr>0</vt:lpwstr>
  </property>
  <property fmtid="{D5CDD505-2E9C-101B-9397-08002B2CF9AE}" pid="10" name="MSIP_Label_289eaf13-f528-470e-bf6b-38b666617431_Tag">
    <vt:lpwstr>10, 3, 0, 1</vt:lpwstr>
  </property>
</Properties>
</file>